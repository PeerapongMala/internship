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F5E1C36-17B9-498F-AAAD-387E449E3589}" xr6:coauthVersionLast="47" xr6:coauthVersionMax="47" xr10:uidLastSave="{00000000-0000-0000-0000-000000000000}"/>
  <bookViews>
    <workbookView xWindow="-120" yWindow="-120" windowWidth="29040" windowHeight="15840" xr2:uid="{507F6AF8-7070-49FF-A152-D39B207219CD}"/>
  </bookViews>
  <sheets>
    <sheet name="staff " sheetId="1" r:id="rId1"/>
    <sheet name="email " sheetId="2" r:id="rId2"/>
  </sheets>
  <definedNames>
    <definedName name="_xlnm._FilterDatabase" localSheetId="0" hidden="1">'staff '!$A$1:$Q$1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B2" i="2"/>
  <c r="A3" i="1" l="1"/>
  <c r="A4" i="1" s="1"/>
  <c r="A5" i="1" s="1"/>
  <c r="A6" i="1" s="1"/>
</calcChain>
</file>

<file path=xl/sharedStrings.xml><?xml version="1.0" encoding="utf-8"?>
<sst xmlns="http://schemas.openxmlformats.org/spreadsheetml/2006/main" count="150" uniqueCount="112">
  <si>
    <t>ลำดับ</t>
  </si>
  <si>
    <t>Team</t>
  </si>
  <si>
    <t>สถานะ</t>
  </si>
  <si>
    <t>เริ่ม</t>
  </si>
  <si>
    <t>ธปท</t>
  </si>
  <si>
    <t>ชื่อสกุลไทย</t>
  </si>
  <si>
    <t>ชื่อสกุลอังกฤษ</t>
  </si>
  <si>
    <t>ชื่อเล่น</t>
  </si>
  <si>
    <t>ตำแหน่ง</t>
  </si>
  <si>
    <t>ระดับ</t>
  </si>
  <si>
    <t>ประสบการณ์</t>
  </si>
  <si>
    <t>รถยนต์/มอเตอร์ไซค์</t>
  </si>
  <si>
    <t>Monitor</t>
  </si>
  <si>
    <t>email</t>
  </si>
  <si>
    <t>mobile</t>
  </si>
  <si>
    <t>lineID</t>
  </si>
  <si>
    <t>9 กพ 69</t>
  </si>
  <si>
    <t>อภินันทน์ ลิ้มรำไพ</t>
  </si>
  <si>
    <t>Developer</t>
  </si>
  <si>
    <t>จุฑาภรณ์ ชารินทร์</t>
  </si>
  <si>
    <t>Jutaporn Charin</t>
  </si>
  <si>
    <t>จ๊ะโอ๋</t>
  </si>
  <si>
    <t>JAO</t>
  </si>
  <si>
    <t xml:space="preserve">System Architecture    </t>
  </si>
  <si>
    <t>23 ปี</t>
  </si>
  <si>
    <t>094-828-2362</t>
  </si>
  <si>
    <t>ณัฎฐวัฒน์ แก้วแดง</t>
  </si>
  <si>
    <t>Natthawat Kaewdang</t>
  </si>
  <si>
    <t>6 ปี</t>
  </si>
  <si>
    <t>พงษ์พิพัฒน์ บ้านใหม่</t>
  </si>
  <si>
    <t>081-406-4383</t>
  </si>
  <si>
    <t>ชยาวีร์ ศรีคำมูล</t>
  </si>
  <si>
    <t>092-263-8827</t>
  </si>
  <si>
    <t>C) Verify</t>
  </si>
  <si>
    <t>B) Reconcile</t>
  </si>
  <si>
    <t>อาร์ท</t>
  </si>
  <si>
    <t>จอม</t>
  </si>
  <si>
    <t>ยะห์</t>
  </si>
  <si>
    <t>เต๋า</t>
  </si>
  <si>
    <t>Art</t>
  </si>
  <si>
    <t>JOM</t>
  </si>
  <si>
    <t>YA</t>
  </si>
  <si>
    <t>Tao</t>
  </si>
  <si>
    <t>Apinan Limlampai</t>
  </si>
  <si>
    <t>Natthawad Kaewdang</t>
  </si>
  <si>
    <t>Shayawee Srikhammun</t>
  </si>
  <si>
    <t>1 กผ 9961</t>
  </si>
  <si>
    <t>1 ปี 8 เดือน</t>
  </si>
  <si>
    <t>shayawee@ditruz.com</t>
  </si>
  <si>
    <t>pongpipat@ditruz.com</t>
  </si>
  <si>
    <t>jutaporn@ditruz.com</t>
  </si>
  <si>
    <t>natthawad@ditruz.com</t>
  </si>
  <si>
    <t>063-360-5709</t>
  </si>
  <si>
    <t>2 ปี 8 เดือน</t>
  </si>
  <si>
    <t>1 ปี 9 เดือน</t>
  </si>
  <si>
    <t>ชต 4111</t>
  </si>
  <si>
    <t>rinniizz</t>
  </si>
  <si>
    <t>jutapornc</t>
  </si>
  <si>
    <t>ญฬ 82</t>
  </si>
  <si>
    <t>apinan@ditruz.com</t>
  </si>
  <si>
    <t>yalovemuk</t>
  </si>
  <si>
    <t>jormhero</t>
  </si>
  <si>
    <t>3 ขญ 42</t>
  </si>
  <si>
    <t>061-667-9914</t>
  </si>
  <si>
    <t>0616679914</t>
  </si>
  <si>
    <t xml:space="preserve"> -</t>
  </si>
  <si>
    <t>ปฎิบัติงาน</t>
  </si>
  <si>
    <t>Username</t>
  </si>
  <si>
    <t>Password</t>
  </si>
  <si>
    <t>jutaporn.cha@cubeofnine.asia</t>
  </si>
  <si>
    <t>XBA94FFW2AA8nL%</t>
  </si>
  <si>
    <t>shayawee.sri@cubeofnine.asia</t>
  </si>
  <si>
    <t>webmail</t>
  </si>
  <si>
    <t>URL</t>
  </si>
  <si>
    <t>ใบเตย</t>
  </si>
  <si>
    <t>Baitoey</t>
  </si>
  <si>
    <t>Project co.</t>
  </si>
  <si>
    <t>5 กภ 942</t>
  </si>
  <si>
    <t>chutipa@ditruz.com</t>
  </si>
  <si>
    <t>ชุติภา เชตุใจ</t>
  </si>
  <si>
    <t>Chutipa chedjai</t>
  </si>
  <si>
    <t>1 ปี</t>
  </si>
  <si>
    <t>1ขณ 6601</t>
  </si>
  <si>
    <t xml:space="preserve">นางสาวกาญจนาพร ศรีหมอน	</t>
  </si>
  <si>
    <t>Kanjanaporn Srimon</t>
  </si>
  <si>
    <t>ส้มโอ</t>
  </si>
  <si>
    <t>Som-o</t>
  </si>
  <si>
    <t>kanjanaporn@ditruz.com</t>
  </si>
  <si>
    <t>7 ปี</t>
  </si>
  <si>
    <t>090-294-5441</t>
  </si>
  <si>
    <t>0641088885</t>
  </si>
  <si>
    <t>095-891-1500</t>
  </si>
  <si>
    <t>ณัฐชนก วิสุทธิพันธุ์</t>
  </si>
  <si>
    <t>Nutchanock Wisuttiphun</t>
  </si>
  <si>
    <t>สหรัถ ทองอินทร์</t>
  </si>
  <si>
    <t>Saharat Thongin</t>
  </si>
  <si>
    <t>พีระพงษ์ มาลา</t>
  </si>
  <si>
    <t>Peerapong Mala</t>
  </si>
  <si>
    <t>เบล</t>
  </si>
  <si>
    <t>ดิว</t>
  </si>
  <si>
    <t>พี</t>
  </si>
  <si>
    <t>พสธร บุญล้อม</t>
  </si>
  <si>
    <t>Potsatorn Boonlorm</t>
  </si>
  <si>
    <t>คอปเตอร์</t>
  </si>
  <si>
    <t>Bell</t>
  </si>
  <si>
    <t>Dew</t>
  </si>
  <si>
    <t>Pea</t>
  </si>
  <si>
    <t>Copter</t>
  </si>
  <si>
    <t>ภากร สุริยเทวสถิตกุล</t>
  </si>
  <si>
    <t>pagon suriyathewasathitgoon</t>
  </si>
  <si>
    <t xml:space="preserve">เคน </t>
  </si>
  <si>
    <t>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</si>
</sst>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ordia New"/>
      <family val="2"/>
    </font>
    <font>
      <sz val="14"/>
      <color theme="1"/>
      <name val="Cordia New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ngsana New"/>
      <family val="1"/>
    </font>
    <font>
      <sz val="12"/>
      <color theme="1"/>
      <name val="Angsana New"/>
      <family val="1"/>
    </font>
    <font>
      <u/>
      <sz val="12"/>
      <color theme="10"/>
      <name val="Angsana New"/>
      <family val="1"/>
    </font>
    <font>
      <u/>
      <sz val="14"/>
      <color theme="10"/>
      <name val="Cordia Ne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49" fontId="2" fillId="0" borderId="1" xfId="0" applyNumberFormat="1" applyFont="1" applyBorder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7" fillId="0" borderId="1" xfId="1" applyFont="1" applyBorder="1"/>
    <xf numFmtId="2" fontId="7" fillId="0" borderId="1" xfId="1" applyNumberFormat="1" applyFont="1" applyBorder="1"/>
    <xf numFmtId="49" fontId="2" fillId="0" borderId="1" xfId="0" applyNumberFormat="1" applyFont="1" applyBorder="1" applyAlignment="1">
      <alignment horizontal="left"/>
    </xf>
    <xf numFmtId="0" fontId="6" fillId="0" borderId="2" xfId="1" applyFont="1" applyBorder="1" applyAlignment="1">
      <alignment horizontal="center" vertical="top"/>
    </xf>
    <xf numFmtId="0" fontId="6" fillId="0" borderId="3" xfId="1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taporn@ditruz.com" TargetMode="External"/><Relationship Id="rId7" Type="http://schemas.openxmlformats.org/officeDocument/2006/relationships/hyperlink" Target="mailto:kanjanaporn@ditruz.com" TargetMode="External"/><Relationship Id="rId2" Type="http://schemas.openxmlformats.org/officeDocument/2006/relationships/hyperlink" Target="mailto:pongpipat@ditruz.com" TargetMode="External"/><Relationship Id="rId1" Type="http://schemas.openxmlformats.org/officeDocument/2006/relationships/hyperlink" Target="mailto:shayawee@ditruz.com" TargetMode="External"/><Relationship Id="rId6" Type="http://schemas.openxmlformats.org/officeDocument/2006/relationships/hyperlink" Target="mailto:chutipa@ditruz.com" TargetMode="External"/><Relationship Id="rId5" Type="http://schemas.openxmlformats.org/officeDocument/2006/relationships/hyperlink" Target="mailto:apinan@ditruz.com" TargetMode="External"/><Relationship Id="rId4" Type="http://schemas.openxmlformats.org/officeDocument/2006/relationships/hyperlink" Target="mailto:natthawad@ditruz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mail.cubeofnine.asia/webmai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ED2-36DE-43BA-BD4E-BEB4980D0226}">
  <dimension ref="A1:Q13"/>
  <sheetViews>
    <sheetView tabSelected="1" zoomScaleNormal="100" workbookViewId="0">
      <selection activeCell="K16" sqref="K16"/>
    </sheetView>
  </sheetViews>
  <sheetFormatPr defaultColWidth="8.7109375" defaultRowHeight="21.75" x14ac:dyDescent="0.5"/>
  <cols>
    <col min="1" max="1" width="6.140625" style="2" customWidth="1"/>
    <col min="2" max="2" width="18.85546875" style="2" bestFit="1" customWidth="1"/>
    <col min="3" max="3" width="13" style="2" customWidth="1"/>
    <col min="4" max="5" width="10.140625" style="2" customWidth="1"/>
    <col min="6" max="6" width="21.140625" style="2" customWidth="1"/>
    <col min="7" max="7" width="22.85546875" style="2" customWidth="1"/>
    <col min="8" max="9" width="8.7109375" style="2"/>
    <col min="10" max="10" width="17.28515625" style="2" bestFit="1" customWidth="1"/>
    <col min="11" max="11" width="8.7109375" style="2"/>
    <col min="12" max="12" width="10.7109375" style="2" bestFit="1" customWidth="1"/>
    <col min="13" max="13" width="16.140625" style="2" bestFit="1" customWidth="1"/>
    <col min="14" max="14" width="0" style="2" hidden="1" customWidth="1"/>
    <col min="15" max="15" width="23.140625" style="2" customWidth="1"/>
    <col min="16" max="16" width="12.7109375" style="2" customWidth="1"/>
    <col min="17" max="17" width="12.42578125" style="2" customWidth="1"/>
    <col min="18" max="16384" width="8.7109375" style="2"/>
  </cols>
  <sheetData>
    <row r="1" spans="1:17" s="1" customFormat="1" ht="2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x14ac:dyDescent="0.5">
      <c r="A2" s="4">
        <v>1</v>
      </c>
      <c r="B2" s="7" t="s">
        <v>34</v>
      </c>
      <c r="C2" s="5" t="s">
        <v>66</v>
      </c>
      <c r="D2" s="5" t="s">
        <v>16</v>
      </c>
      <c r="E2" s="5" t="s">
        <v>16</v>
      </c>
      <c r="F2" s="5" t="s">
        <v>17</v>
      </c>
      <c r="G2" s="5" t="s">
        <v>43</v>
      </c>
      <c r="H2" s="5" t="s">
        <v>35</v>
      </c>
      <c r="I2" s="5" t="s">
        <v>39</v>
      </c>
      <c r="J2" s="5" t="s">
        <v>18</v>
      </c>
      <c r="K2" s="5"/>
      <c r="L2" s="5" t="s">
        <v>47</v>
      </c>
      <c r="M2" s="5" t="s">
        <v>65</v>
      </c>
      <c r="N2" s="6"/>
      <c r="O2" s="13" t="s">
        <v>59</v>
      </c>
      <c r="P2" s="5" t="s">
        <v>63</v>
      </c>
      <c r="Q2" s="8" t="s">
        <v>64</v>
      </c>
    </row>
    <row r="3" spans="1:17" x14ac:dyDescent="0.5">
      <c r="A3" s="4">
        <f t="shared" ref="A3:A6" si="0">SUM(A2+1)</f>
        <v>2</v>
      </c>
      <c r="B3" s="7" t="s">
        <v>34</v>
      </c>
      <c r="C3" s="5" t="s">
        <v>66</v>
      </c>
      <c r="D3" s="5" t="s">
        <v>16</v>
      </c>
      <c r="E3" s="5" t="s">
        <v>16</v>
      </c>
      <c r="F3" s="5" t="s">
        <v>19</v>
      </c>
      <c r="G3" s="5" t="s">
        <v>20</v>
      </c>
      <c r="H3" s="5" t="s">
        <v>21</v>
      </c>
      <c r="I3" s="5" t="s">
        <v>22</v>
      </c>
      <c r="J3" s="5" t="s">
        <v>23</v>
      </c>
      <c r="K3" s="5"/>
      <c r="L3" s="5" t="s">
        <v>24</v>
      </c>
      <c r="M3" s="5" t="s">
        <v>62</v>
      </c>
      <c r="N3" s="6"/>
      <c r="O3" s="13" t="s">
        <v>50</v>
      </c>
      <c r="P3" s="5" t="s">
        <v>25</v>
      </c>
      <c r="Q3" s="5" t="s">
        <v>57</v>
      </c>
    </row>
    <row r="4" spans="1:17" x14ac:dyDescent="0.5">
      <c r="A4" s="4">
        <f t="shared" si="0"/>
        <v>3</v>
      </c>
      <c r="B4" s="7" t="s">
        <v>33</v>
      </c>
      <c r="C4" s="5" t="s">
        <v>66</v>
      </c>
      <c r="D4" s="5" t="s">
        <v>16</v>
      </c>
      <c r="E4" s="5" t="s">
        <v>16</v>
      </c>
      <c r="F4" s="5" t="s">
        <v>26</v>
      </c>
      <c r="G4" s="5" t="s">
        <v>27</v>
      </c>
      <c r="H4" s="5" t="s">
        <v>36</v>
      </c>
      <c r="I4" s="5" t="s">
        <v>40</v>
      </c>
      <c r="J4" s="5" t="s">
        <v>18</v>
      </c>
      <c r="K4" s="5"/>
      <c r="L4" s="5" t="s">
        <v>28</v>
      </c>
      <c r="M4" s="5" t="s">
        <v>58</v>
      </c>
      <c r="N4" s="6"/>
      <c r="O4" s="13" t="s">
        <v>51</v>
      </c>
      <c r="P4" s="5" t="s">
        <v>52</v>
      </c>
      <c r="Q4" s="5" t="s">
        <v>61</v>
      </c>
    </row>
    <row r="5" spans="1:17" x14ac:dyDescent="0.5">
      <c r="A5" s="4">
        <f t="shared" si="0"/>
        <v>4</v>
      </c>
      <c r="B5" s="7" t="s">
        <v>33</v>
      </c>
      <c r="C5" s="5" t="s">
        <v>66</v>
      </c>
      <c r="D5" s="5" t="s">
        <v>16</v>
      </c>
      <c r="E5" s="5" t="s">
        <v>16</v>
      </c>
      <c r="F5" s="5" t="s">
        <v>29</v>
      </c>
      <c r="G5" s="5" t="s">
        <v>44</v>
      </c>
      <c r="H5" s="5" t="s">
        <v>38</v>
      </c>
      <c r="I5" s="5" t="s">
        <v>42</v>
      </c>
      <c r="J5" s="5" t="s">
        <v>18</v>
      </c>
      <c r="K5" s="5"/>
      <c r="L5" s="5" t="s">
        <v>54</v>
      </c>
      <c r="M5" s="5" t="s">
        <v>55</v>
      </c>
      <c r="N5" s="6"/>
      <c r="O5" s="13" t="s">
        <v>49</v>
      </c>
      <c r="P5" s="5" t="s">
        <v>30</v>
      </c>
      <c r="Q5" s="5" t="s">
        <v>56</v>
      </c>
    </row>
    <row r="6" spans="1:17" x14ac:dyDescent="0.5">
      <c r="A6" s="4">
        <f t="shared" si="0"/>
        <v>5</v>
      </c>
      <c r="B6" s="7" t="s">
        <v>33</v>
      </c>
      <c r="C6" s="5" t="s">
        <v>66</v>
      </c>
      <c r="D6" s="5" t="s">
        <v>16</v>
      </c>
      <c r="E6" s="5" t="s">
        <v>16</v>
      </c>
      <c r="F6" s="5" t="s">
        <v>31</v>
      </c>
      <c r="G6" s="5" t="s">
        <v>45</v>
      </c>
      <c r="H6" s="5" t="s">
        <v>37</v>
      </c>
      <c r="I6" s="5" t="s">
        <v>41</v>
      </c>
      <c r="J6" s="5" t="s">
        <v>23</v>
      </c>
      <c r="K6" s="5"/>
      <c r="L6" s="5" t="s">
        <v>53</v>
      </c>
      <c r="M6" s="5" t="s">
        <v>46</v>
      </c>
      <c r="N6" s="6"/>
      <c r="O6" s="13" t="s">
        <v>48</v>
      </c>
      <c r="P6" s="5" t="s">
        <v>32</v>
      </c>
      <c r="Q6" s="5" t="s">
        <v>60</v>
      </c>
    </row>
    <row r="7" spans="1:17" x14ac:dyDescent="0.5">
      <c r="A7" s="6">
        <v>6</v>
      </c>
      <c r="B7" s="7" t="s">
        <v>33</v>
      </c>
      <c r="C7" s="5" t="s">
        <v>66</v>
      </c>
      <c r="D7" s="5" t="s">
        <v>16</v>
      </c>
      <c r="E7" s="5" t="s">
        <v>16</v>
      </c>
      <c r="F7" s="5" t="s">
        <v>79</v>
      </c>
      <c r="G7" s="5" t="s">
        <v>80</v>
      </c>
      <c r="H7" s="5" t="s">
        <v>74</v>
      </c>
      <c r="I7" s="5" t="s">
        <v>75</v>
      </c>
      <c r="J7" s="5" t="s">
        <v>76</v>
      </c>
      <c r="K7" s="5"/>
      <c r="L7" s="5" t="s">
        <v>81</v>
      </c>
      <c r="M7" s="5" t="s">
        <v>77</v>
      </c>
      <c r="N7" s="5"/>
      <c r="O7" s="14" t="s">
        <v>78</v>
      </c>
      <c r="P7" s="15" t="s">
        <v>89</v>
      </c>
      <c r="Q7" s="15" t="s">
        <v>90</v>
      </c>
    </row>
    <row r="8" spans="1:17" x14ac:dyDescent="0.5">
      <c r="A8" s="6">
        <v>7</v>
      </c>
      <c r="B8" s="7" t="s">
        <v>33</v>
      </c>
      <c r="C8" s="5" t="s">
        <v>66</v>
      </c>
      <c r="D8" s="5" t="s">
        <v>16</v>
      </c>
      <c r="E8" s="5" t="s">
        <v>16</v>
      </c>
      <c r="F8" s="5" t="s">
        <v>83</v>
      </c>
      <c r="G8" s="5" t="s">
        <v>84</v>
      </c>
      <c r="H8" s="5" t="s">
        <v>85</v>
      </c>
      <c r="I8" s="5" t="s">
        <v>86</v>
      </c>
      <c r="J8" s="5" t="s">
        <v>76</v>
      </c>
      <c r="K8" s="5"/>
      <c r="L8" s="5" t="s">
        <v>88</v>
      </c>
      <c r="M8" s="5" t="s">
        <v>82</v>
      </c>
      <c r="N8" s="5"/>
      <c r="O8" s="14" t="s">
        <v>87</v>
      </c>
      <c r="P8" s="15" t="s">
        <v>91</v>
      </c>
      <c r="Q8" s="15" t="s">
        <v>91</v>
      </c>
    </row>
    <row r="9" spans="1:17" x14ac:dyDescent="0.5">
      <c r="A9" s="6">
        <v>8</v>
      </c>
      <c r="B9" s="7"/>
      <c r="C9" s="5"/>
      <c r="D9" s="5"/>
      <c r="E9" s="5"/>
      <c r="F9" s="5" t="s">
        <v>92</v>
      </c>
      <c r="G9" s="5" t="s">
        <v>93</v>
      </c>
      <c r="H9" s="5" t="s">
        <v>98</v>
      </c>
      <c r="I9" s="5" t="s">
        <v>104</v>
      </c>
      <c r="J9" s="5" t="s">
        <v>18</v>
      </c>
      <c r="K9" s="5"/>
      <c r="L9" s="5"/>
      <c r="M9" s="5"/>
      <c r="N9" s="5"/>
      <c r="O9" s="14"/>
      <c r="P9" s="15"/>
      <c r="Q9" s="15"/>
    </row>
    <row r="10" spans="1:17" x14ac:dyDescent="0.5">
      <c r="A10" s="6">
        <v>9</v>
      </c>
      <c r="B10" s="7"/>
      <c r="C10" s="5"/>
      <c r="D10" s="5"/>
      <c r="E10" s="5"/>
      <c r="F10" s="5" t="s">
        <v>94</v>
      </c>
      <c r="G10" s="5" t="s">
        <v>95</v>
      </c>
      <c r="H10" s="5" t="s">
        <v>99</v>
      </c>
      <c r="I10" s="5" t="s">
        <v>105</v>
      </c>
      <c r="J10" s="5" t="s">
        <v>18</v>
      </c>
      <c r="K10" s="5"/>
      <c r="L10" s="5"/>
      <c r="M10" s="5"/>
      <c r="N10" s="5"/>
      <c r="O10" s="14"/>
      <c r="P10" s="15"/>
      <c r="Q10" s="15"/>
    </row>
    <row r="11" spans="1:17" x14ac:dyDescent="0.5">
      <c r="A11" s="6">
        <v>10</v>
      </c>
      <c r="B11" s="7"/>
      <c r="C11" s="5"/>
      <c r="D11" s="5"/>
      <c r="E11" s="5"/>
      <c r="F11" s="5" t="s">
        <v>96</v>
      </c>
      <c r="G11" s="5" t="s">
        <v>97</v>
      </c>
      <c r="H11" s="5" t="s">
        <v>100</v>
      </c>
      <c r="I11" s="5" t="s">
        <v>106</v>
      </c>
      <c r="J11" s="5" t="s">
        <v>18</v>
      </c>
      <c r="K11" s="5"/>
      <c r="L11" s="5"/>
      <c r="M11" s="5"/>
      <c r="N11" s="5"/>
      <c r="O11" s="14"/>
      <c r="P11" s="15"/>
      <c r="Q11" s="15"/>
    </row>
    <row r="12" spans="1:17" x14ac:dyDescent="0.5">
      <c r="A12" s="6">
        <v>11</v>
      </c>
      <c r="B12" s="7"/>
      <c r="C12" s="5"/>
      <c r="D12" s="5"/>
      <c r="E12" s="5"/>
      <c r="F12" s="5" t="s">
        <v>101</v>
      </c>
      <c r="G12" s="5" t="s">
        <v>102</v>
      </c>
      <c r="H12" s="5" t="s">
        <v>103</v>
      </c>
      <c r="I12" s="5" t="s">
        <v>107</v>
      </c>
      <c r="J12" s="5" t="s">
        <v>18</v>
      </c>
      <c r="K12" s="5"/>
      <c r="L12" s="5"/>
      <c r="M12" s="5"/>
      <c r="N12" s="5"/>
      <c r="O12" s="14"/>
      <c r="P12" s="15"/>
      <c r="Q12" s="15"/>
    </row>
    <row r="13" spans="1:17" x14ac:dyDescent="0.5">
      <c r="A13" s="6">
        <v>12</v>
      </c>
      <c r="B13" s="7"/>
      <c r="C13" s="5"/>
      <c r="D13" s="5"/>
      <c r="E13" s="5"/>
      <c r="F13" s="5" t="s">
        <v>108</v>
      </c>
      <c r="G13" s="5" t="s">
        <v>109</v>
      </c>
      <c r="H13" s="5" t="s">
        <v>110</v>
      </c>
      <c r="I13" s="5" t="s">
        <v>111</v>
      </c>
      <c r="J13" s="5" t="s">
        <v>18</v>
      </c>
      <c r="K13" s="5"/>
      <c r="L13" s="5"/>
      <c r="M13" s="5"/>
      <c r="N13" s="5"/>
      <c r="O13" s="14"/>
      <c r="P13" s="15"/>
      <c r="Q13" s="15"/>
    </row>
  </sheetData>
  <autoFilter ref="A1:Q1" xr:uid="{4CEF8C2C-DEB4-4F00-9334-002770EAF564}"/>
  <dataValidations count="1">
    <dataValidation type="list" allowBlank="1" showInputMessage="1" showErrorMessage="1" sqref="B2:B13" xr:uid="{CC9A5390-3746-4391-B6F5-ECB3A3A9710B}">
      <formula1>"B) Reconcile, C) Verify"</formula1>
    </dataValidation>
  </dataValidations>
  <hyperlinks>
    <hyperlink ref="O6" r:id="rId1" xr:uid="{1F4EDC32-F9D9-4D59-8A98-066328D94D43}"/>
    <hyperlink ref="O5" r:id="rId2" xr:uid="{440A5C2A-1FE5-4ED0-9799-3CF997899A8B}"/>
    <hyperlink ref="O3" r:id="rId3" xr:uid="{A265B40D-ED0F-4D9D-9FEC-74CD6150732A}"/>
    <hyperlink ref="O4" r:id="rId4" xr:uid="{24FAF1D8-C034-4D47-AF60-A596F3F334D0}"/>
    <hyperlink ref="O2" r:id="rId5" xr:uid="{7FBA72C3-A38E-4A14-A780-8D12DECAC05F}"/>
    <hyperlink ref="O7" r:id="rId6" xr:uid="{4FC56B84-66E9-4A7A-B831-7E8BB75A732B}"/>
    <hyperlink ref="O8" r:id="rId7" xr:uid="{639C69B4-1817-4D75-8BD3-71DC0E3326D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BC8FC-D315-427E-8415-683735D9A58D}">
  <dimension ref="A1:E3"/>
  <sheetViews>
    <sheetView workbookViewId="0">
      <selection activeCell="B2" sqref="B2"/>
    </sheetView>
  </sheetViews>
  <sheetFormatPr defaultColWidth="8.7109375" defaultRowHeight="18" x14ac:dyDescent="0.4"/>
  <cols>
    <col min="1" max="1" width="5.7109375" style="10" customWidth="1"/>
    <col min="2" max="2" width="15.28515625" style="10" customWidth="1"/>
    <col min="3" max="3" width="18.140625" style="10" bestFit="1" customWidth="1"/>
    <col min="4" max="4" width="14.42578125" style="10" bestFit="1" customWidth="1"/>
    <col min="5" max="16384" width="8.7109375" style="10"/>
  </cols>
  <sheetData>
    <row r="1" spans="1:5" x14ac:dyDescent="0.4">
      <c r="A1" s="9" t="s">
        <v>0</v>
      </c>
      <c r="B1" s="9" t="s">
        <v>6</v>
      </c>
      <c r="C1" s="9" t="s">
        <v>67</v>
      </c>
      <c r="D1" s="9" t="s">
        <v>68</v>
      </c>
      <c r="E1" s="9" t="s">
        <v>73</v>
      </c>
    </row>
    <row r="2" spans="1:5" x14ac:dyDescent="0.4">
      <c r="A2" s="11">
        <v>1</v>
      </c>
      <c r="B2" s="12" t="str">
        <f>'staff '!G3</f>
        <v>Jutaporn Charin</v>
      </c>
      <c r="C2" s="12" t="s">
        <v>69</v>
      </c>
      <c r="D2" s="12" t="s">
        <v>70</v>
      </c>
      <c r="E2" s="16" t="s">
        <v>72</v>
      </c>
    </row>
    <row r="3" spans="1:5" x14ac:dyDescent="0.4">
      <c r="A3" s="11">
        <f>A2+1</f>
        <v>2</v>
      </c>
      <c r="B3" s="12" t="s">
        <v>45</v>
      </c>
      <c r="C3" s="12" t="s">
        <v>71</v>
      </c>
      <c r="D3" s="12" t="s">
        <v>70</v>
      </c>
      <c r="E3" s="17"/>
    </row>
  </sheetData>
  <mergeCells count="1">
    <mergeCell ref="E2:E3"/>
  </mergeCells>
  <hyperlinks>
    <hyperlink ref="E2" r:id="rId1" xr:uid="{A843F111-D4C5-46F3-A8E5-DC0F2169185F}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 </vt:lpstr>
      <vt:lpstr>email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Cube of Nine</dc:creator>
  <cp:lastModifiedBy>Peerapong Mala</cp:lastModifiedBy>
  <dcterms:created xsi:type="dcterms:W3CDTF">2026-02-06T12:11:25Z</dcterms:created>
  <dcterms:modified xsi:type="dcterms:W3CDTF">2026-02-18T05:02:45Z</dcterms:modified>
</cp:coreProperties>
</file>